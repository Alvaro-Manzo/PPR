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<sst xmlns="http://schemas.openxmlformats.org/spreadsheetml/2006/main" count="17" uniqueCount="17">
  <si>
    <t>DESCRIPCION</t>
  </si>
  <si>
    <t>VALOR</t>
  </si>
  <si>
    <t>MONTO FINAL</t>
  </si>
  <si>
    <t>EDAD ACTUAL</t>
  </si>
  <si>
    <t>TU EDAD ACTUAL</t>
  </si>
  <si>
    <t>EDAD DE RETIRO</t>
  </si>
  <si>
    <t>A QUE EDAD TE DESEAS RETIRAR</t>
  </si>
  <si>
    <t>AHORRO MENSUAL</t>
  </si>
  <si>
    <t>LO QUE PUEDES AHORRAR MENSUALMENTE</t>
  </si>
  <si>
    <t>RENDIMIENTO ANUAL %</t>
  </si>
  <si>
    <t>ESTE RENDIMIENTO ESTA AL TANTO POR CIENTO, A UN 7% ANUAL, PROMEDIANDO LOS PPR'S MAS FAMOSOS EN MÉXICO</t>
  </si>
  <si>
    <t>AÑOS A AHORRAR</t>
  </si>
  <si>
    <t>CUANTOS AÑOS AHORRARAS (ESTE VALOR LO PUEDES ENCONTRAR EN LA TABLA A CONTINUACIÓN)</t>
  </si>
  <si>
    <t xml:space="preserve">TOTAL ACUMULADO </t>
  </si>
  <si>
    <t>AÑO</t>
  </si>
  <si>
    <t>AHORRO DEL AÑO</t>
  </si>
  <si>
    <t>INTERÉS GANADO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</si>
</sst>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-&quot;$&quot;* #,##0.00_-;_-&quot;$&quot;* \-#,##0.00_-;_-&quot;$&quot;* &quot;-&quot;??_-;_-@"/>
  </numFmts>
  <fonts count="1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sz val="12.0"/>
      <color theme="1"/>
      <name val="Arial"/>
    </font>
    <font>
      <b/>
      <color theme="1"/>
      <name val="Verdana"/>
    </font>
    <font>
      <b/>
      <sz val="13.0"/>
      <color theme="1"/>
      <name val="Arial"/>
    </font>
    <font>
      <b/>
      <i/>
      <color theme="1"/>
      <name val="Arial"/>
    </font>
    <font>
      <b/>
      <i/>
      <sz val="22.0"/>
      <color theme="1"/>
      <name val="Arial"/>
      <scheme val="minor"/>
    </font>
    <font>
      <b/>
      <sz val="13.0"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i/>
      <sz val="12.0"/>
      <color rgb="FF000000"/>
      <name val="Arial"/>
      <scheme val="minor"/>
    </font>
    <font>
      <color rgb="FFE06666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i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3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4" fontId="7" numFmtId="164" xfId="0" applyAlignment="1" applyFill="1" applyFont="1" applyNumberFormat="1">
      <alignment readingOrder="0" vertical="bottom"/>
    </xf>
    <xf borderId="0" fillId="3" fontId="4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10" numFmtId="0" xfId="0" applyFill="1" applyFont="1"/>
    <xf borderId="0" fillId="5" fontId="11" numFmtId="0" xfId="0" applyAlignment="1" applyFont="1">
      <alignment readingOrder="0"/>
    </xf>
    <xf borderId="0" fillId="5" fontId="9" numFmtId="0" xfId="0" applyAlignment="1" applyFont="1">
      <alignment readingOrder="0"/>
    </xf>
    <xf borderId="0" fillId="5" fontId="12" numFmtId="0" xfId="0" applyAlignment="1" applyFont="1">
      <alignment readingOrder="0"/>
    </xf>
    <xf borderId="0" fillId="6" fontId="13" numFmtId="0" xfId="0" applyAlignment="1" applyFill="1" applyFont="1">
      <alignment horizontal="center" readingOrder="0"/>
    </xf>
    <xf borderId="0" fillId="6" fontId="14" numFmtId="165" xfId="0" applyFont="1" applyNumberFormat="1"/>
    <xf borderId="0" fillId="6" fontId="13" numFmtId="165" xfId="0" applyAlignment="1" applyFont="1" applyNumberFormat="1">
      <alignment horizontal="left"/>
    </xf>
    <xf borderId="0" fillId="6" fontId="15" numFmtId="165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D10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7.38"/>
    <col customWidth="1" min="3" max="3" width="101.75"/>
    <col customWidth="1" min="4" max="4" width="24.25"/>
    <col customWidth="1" min="5" max="5" width="16.13"/>
    <col customWidth="1" min="6" max="6" width="19.88"/>
    <col customWidth="1" min="7" max="7" width="17.5"/>
  </cols>
  <sheetData>
    <row r="1">
      <c r="A1" s="1" t="s">
        <v>0</v>
      </c>
      <c r="B1" s="1" t="s">
        <v>1</v>
      </c>
      <c r="C1" s="2"/>
      <c r="D1" s="3" t="s">
        <v>2</v>
      </c>
    </row>
    <row r="2">
      <c r="A2" s="4" t="s">
        <v>3</v>
      </c>
      <c r="B2" s="5">
        <v>15.0</v>
      </c>
      <c r="C2" s="6" t="s">
        <v>4</v>
      </c>
      <c r="D2" s="7">
        <f>FV(B5/12, B6*12, -B4)</f>
        <v>11377784.03</v>
      </c>
    </row>
    <row r="3">
      <c r="A3" s="4" t="s">
        <v>5</v>
      </c>
      <c r="B3" s="5">
        <v>60.0</v>
      </c>
      <c r="C3" s="6" t="s">
        <v>6</v>
      </c>
      <c r="D3" s="2"/>
    </row>
    <row r="4">
      <c r="A4" s="4" t="s">
        <v>7</v>
      </c>
      <c r="B4" s="5">
        <v>3000.0</v>
      </c>
      <c r="C4" s="6" t="s">
        <v>8</v>
      </c>
      <c r="D4" s="2"/>
    </row>
    <row r="5" ht="21.75" customHeight="1">
      <c r="A5" s="4" t="s">
        <v>9</v>
      </c>
      <c r="B5" s="5">
        <v>0.07</v>
      </c>
      <c r="C5" s="6" t="s">
        <v>10</v>
      </c>
      <c r="D5" s="2"/>
    </row>
    <row r="6" ht="22.5" customHeight="1">
      <c r="A6" s="8" t="s">
        <v>11</v>
      </c>
      <c r="B6" s="9">
        <f>B3-B2</f>
        <v>45</v>
      </c>
      <c r="C6" s="10" t="s">
        <v>12</v>
      </c>
      <c r="D6" s="11"/>
    </row>
    <row r="7">
      <c r="A7" s="12"/>
      <c r="B7" s="12"/>
      <c r="C7" s="12"/>
      <c r="D7" s="13" t="s">
        <v>13</v>
      </c>
    </row>
    <row r="8">
      <c r="A8" s="14" t="s">
        <v>14</v>
      </c>
      <c r="B8" s="14" t="s">
        <v>15</v>
      </c>
      <c r="C8" s="14" t="s">
        <v>16</v>
      </c>
      <c r="D8" s="15">
        <v>0.0</v>
      </c>
    </row>
    <row r="9">
      <c r="A9" s="16">
        <v>1.0</v>
      </c>
      <c r="B9" s="17">
        <f t="shared" ref="B9:B107" si="1">$B$4*12</f>
        <v>36000</v>
      </c>
      <c r="C9" s="18">
        <f t="shared" ref="C9:C107" si="2">D8*$B$5</f>
        <v>0</v>
      </c>
      <c r="D9" s="19">
        <f t="shared" ref="D9:D107" si="3"> D8*(1+$B$5/12)^12 + $B$4*((1+$B$5/12)^12 - 1)/($B$5/12)</f>
        <v>37177.75587</v>
      </c>
    </row>
    <row r="10">
      <c r="A10" s="16">
        <v>2.0</v>
      </c>
      <c r="B10" s="17">
        <f t="shared" si="1"/>
        <v>36000</v>
      </c>
      <c r="C10" s="18">
        <f t="shared" si="2"/>
        <v>2602.442911</v>
      </c>
      <c r="D10" s="19">
        <f t="shared" si="3"/>
        <v>77043.09472</v>
      </c>
    </row>
    <row r="11">
      <c r="A11" s="16">
        <v>3.0</v>
      </c>
      <c r="B11" s="17">
        <f t="shared" si="1"/>
        <v>36000</v>
      </c>
      <c r="C11" s="18">
        <f t="shared" si="2"/>
        <v>5393.01663</v>
      </c>
      <c r="D11" s="19">
        <f t="shared" si="3"/>
        <v>119790.3021</v>
      </c>
    </row>
    <row r="12">
      <c r="A12" s="16">
        <v>4.0</v>
      </c>
      <c r="B12" s="17">
        <f t="shared" si="1"/>
        <v>36000</v>
      </c>
      <c r="C12" s="18">
        <f t="shared" si="2"/>
        <v>8385.321149</v>
      </c>
      <c r="D12" s="19">
        <f t="shared" si="3"/>
        <v>165627.7086</v>
      </c>
    </row>
    <row r="13">
      <c r="A13" s="16">
        <v>5.0</v>
      </c>
      <c r="B13" s="17">
        <f t="shared" si="1"/>
        <v>36000</v>
      </c>
      <c r="C13" s="18">
        <f t="shared" si="2"/>
        <v>11593.9396</v>
      </c>
      <c r="D13" s="19">
        <f t="shared" si="3"/>
        <v>214778.7049</v>
      </c>
    </row>
    <row r="14">
      <c r="A14" s="16">
        <v>6.0</v>
      </c>
      <c r="B14" s="17">
        <f t="shared" si="1"/>
        <v>36000</v>
      </c>
      <c r="C14" s="18">
        <f t="shared" si="2"/>
        <v>15034.50935</v>
      </c>
      <c r="D14" s="19">
        <f t="shared" si="3"/>
        <v>267482.8308</v>
      </c>
    </row>
    <row r="15">
      <c r="A15" s="16">
        <v>7.0</v>
      </c>
      <c r="B15" s="17">
        <f t="shared" si="1"/>
        <v>36000</v>
      </c>
      <c r="C15" s="18">
        <f t="shared" si="2"/>
        <v>18723.79815</v>
      </c>
      <c r="D15" s="19">
        <f t="shared" si="3"/>
        <v>323996.9421</v>
      </c>
    </row>
    <row r="16">
      <c r="A16" s="16">
        <v>8.0</v>
      </c>
      <c r="B16" s="17">
        <f t="shared" si="1"/>
        <v>36000</v>
      </c>
      <c r="C16" s="18">
        <f t="shared" si="2"/>
        <v>22679.78595</v>
      </c>
      <c r="D16" s="19">
        <f t="shared" si="3"/>
        <v>384596.4631</v>
      </c>
    </row>
    <row r="17">
      <c r="A17" s="16">
        <v>9.0</v>
      </c>
      <c r="B17" s="17">
        <f t="shared" si="1"/>
        <v>36000</v>
      </c>
      <c r="C17" s="18">
        <f t="shared" si="2"/>
        <v>26921.75242</v>
      </c>
      <c r="D17" s="19">
        <f t="shared" si="3"/>
        <v>449576.7284</v>
      </c>
    </row>
    <row r="18">
      <c r="A18" s="16">
        <v>10.0</v>
      </c>
      <c r="B18" s="17">
        <f t="shared" si="1"/>
        <v>36000</v>
      </c>
      <c r="C18" s="18">
        <f t="shared" si="2"/>
        <v>31470.37099</v>
      </c>
      <c r="D18" s="19">
        <f t="shared" si="3"/>
        <v>519254.4223</v>
      </c>
    </row>
    <row r="19">
      <c r="A19" s="16">
        <v>11.0</v>
      </c>
      <c r="B19" s="17">
        <f t="shared" si="1"/>
        <v>36000</v>
      </c>
      <c r="C19" s="18">
        <f t="shared" si="2"/>
        <v>36347.80956</v>
      </c>
      <c r="D19" s="19">
        <f t="shared" si="3"/>
        <v>593969.1223</v>
      </c>
    </row>
    <row r="20">
      <c r="A20" s="16">
        <v>12.0</v>
      </c>
      <c r="B20" s="17">
        <f t="shared" si="1"/>
        <v>36000</v>
      </c>
      <c r="C20" s="18">
        <f t="shared" si="2"/>
        <v>41577.83856</v>
      </c>
      <c r="D20" s="19">
        <f t="shared" si="3"/>
        <v>674084.9541</v>
      </c>
    </row>
    <row r="21">
      <c r="A21" s="16">
        <v>13.0</v>
      </c>
      <c r="B21" s="17">
        <f t="shared" si="1"/>
        <v>36000</v>
      </c>
      <c r="C21" s="18">
        <f t="shared" si="2"/>
        <v>47185.94679</v>
      </c>
      <c r="D21" s="19">
        <f t="shared" si="3"/>
        <v>759992.3658</v>
      </c>
    </row>
    <row r="22">
      <c r="A22" s="16">
        <v>14.0</v>
      </c>
      <c r="B22" s="17">
        <f t="shared" si="1"/>
        <v>36000</v>
      </c>
      <c r="C22" s="18">
        <f t="shared" si="2"/>
        <v>53199.46561</v>
      </c>
      <c r="D22" s="19">
        <f t="shared" si="3"/>
        <v>852110.0312</v>
      </c>
    </row>
    <row r="23">
      <c r="A23" s="16">
        <v>15.0</v>
      </c>
      <c r="B23" s="17">
        <f t="shared" si="1"/>
        <v>36000</v>
      </c>
      <c r="C23" s="18">
        <f t="shared" si="2"/>
        <v>59647.70219</v>
      </c>
      <c r="D23" s="19">
        <f t="shared" si="3"/>
        <v>950886.8902</v>
      </c>
    </row>
    <row r="24">
      <c r="A24" s="16">
        <v>16.0</v>
      </c>
      <c r="B24" s="17">
        <f t="shared" si="1"/>
        <v>36000</v>
      </c>
      <c r="C24" s="18">
        <f t="shared" si="2"/>
        <v>66562.08231</v>
      </c>
      <c r="D24" s="19">
        <f t="shared" si="3"/>
        <v>1056804.336</v>
      </c>
    </row>
    <row r="25">
      <c r="A25" s="16">
        <v>17.0</v>
      </c>
      <c r="B25" s="17">
        <f t="shared" si="1"/>
        <v>36000</v>
      </c>
      <c r="C25" s="18">
        <f t="shared" si="2"/>
        <v>73976.30353</v>
      </c>
      <c r="D25" s="19">
        <f t="shared" si="3"/>
        <v>1170378.563</v>
      </c>
    </row>
    <row r="26">
      <c r="A26" s="16">
        <v>18.0</v>
      </c>
      <c r="B26" s="17">
        <f t="shared" si="1"/>
        <v>36000</v>
      </c>
      <c r="C26" s="18">
        <f t="shared" si="2"/>
        <v>81926.49941</v>
      </c>
      <c r="D26" s="19">
        <f t="shared" si="3"/>
        <v>1292163.08</v>
      </c>
    </row>
    <row r="27">
      <c r="A27" s="16">
        <v>19.0</v>
      </c>
      <c r="B27" s="17">
        <f t="shared" si="1"/>
        <v>36000</v>
      </c>
      <c r="C27" s="18">
        <f t="shared" si="2"/>
        <v>90451.41559</v>
      </c>
      <c r="D27" s="19">
        <f t="shared" si="3"/>
        <v>1422751.409</v>
      </c>
    </row>
    <row r="28">
      <c r="A28" s="16">
        <v>20.0</v>
      </c>
      <c r="B28" s="17">
        <f t="shared" si="1"/>
        <v>36000</v>
      </c>
      <c r="C28" s="18">
        <f t="shared" si="2"/>
        <v>99592.59864</v>
      </c>
      <c r="D28" s="19">
        <f t="shared" si="3"/>
        <v>1562779.979</v>
      </c>
    </row>
    <row r="29">
      <c r="A29" s="16">
        <v>21.0</v>
      </c>
      <c r="B29" s="17">
        <f t="shared" si="1"/>
        <v>36000</v>
      </c>
      <c r="C29" s="18">
        <f t="shared" si="2"/>
        <v>109394.5986</v>
      </c>
      <c r="D29" s="19">
        <f t="shared" si="3"/>
        <v>1712931.226</v>
      </c>
    </row>
    <row r="30">
      <c r="A30" s="16">
        <v>22.0</v>
      </c>
      <c r="B30" s="17">
        <f t="shared" si="1"/>
        <v>36000</v>
      </c>
      <c r="C30" s="18">
        <f t="shared" si="2"/>
        <v>119905.1858</v>
      </c>
      <c r="D30" s="19">
        <f t="shared" si="3"/>
        <v>1873936.919</v>
      </c>
    </row>
    <row r="31">
      <c r="A31" s="16">
        <v>23.0</v>
      </c>
      <c r="B31" s="17">
        <f t="shared" si="1"/>
        <v>36000</v>
      </c>
      <c r="C31" s="18">
        <f t="shared" si="2"/>
        <v>131175.5843</v>
      </c>
      <c r="D31" s="19">
        <f t="shared" si="3"/>
        <v>2046581.726</v>
      </c>
    </row>
    <row r="32">
      <c r="A32" s="16">
        <v>24.0</v>
      </c>
      <c r="B32" s="17">
        <f t="shared" si="1"/>
        <v>36000</v>
      </c>
      <c r="C32" s="18">
        <f t="shared" si="2"/>
        <v>143260.7208</v>
      </c>
      <c r="D32" s="19">
        <f t="shared" si="3"/>
        <v>2231707.041</v>
      </c>
    </row>
    <row r="33">
      <c r="A33" s="16">
        <v>25.0</v>
      </c>
      <c r="B33" s="17">
        <f t="shared" si="1"/>
        <v>36000</v>
      </c>
      <c r="C33" s="18">
        <f t="shared" si="2"/>
        <v>156219.4929</v>
      </c>
      <c r="D33" s="19">
        <f t="shared" si="3"/>
        <v>2430215.079</v>
      </c>
    </row>
    <row r="34">
      <c r="A34" s="16">
        <v>26.0</v>
      </c>
      <c r="B34" s="17">
        <f t="shared" si="1"/>
        <v>36000</v>
      </c>
      <c r="C34" s="18">
        <f t="shared" si="2"/>
        <v>170115.0555</v>
      </c>
      <c r="D34" s="19">
        <f t="shared" si="3"/>
        <v>2643073.28</v>
      </c>
    </row>
    <row r="35">
      <c r="A35" s="16">
        <v>27.0</v>
      </c>
      <c r="B35" s="17">
        <f t="shared" si="1"/>
        <v>36000</v>
      </c>
      <c r="C35" s="18">
        <f t="shared" si="2"/>
        <v>185015.1296</v>
      </c>
      <c r="D35" s="19">
        <f t="shared" si="3"/>
        <v>2871319.016</v>
      </c>
    </row>
    <row r="36">
      <c r="A36" s="16">
        <v>28.0</v>
      </c>
      <c r="B36" s="17">
        <f t="shared" si="1"/>
        <v>36000</v>
      </c>
      <c r="C36" s="18">
        <f t="shared" si="2"/>
        <v>200992.3312</v>
      </c>
      <c r="D36" s="19">
        <f t="shared" si="3"/>
        <v>3116064.656</v>
      </c>
    </row>
    <row r="37">
      <c r="A37" s="16">
        <v>29.0</v>
      </c>
      <c r="B37" s="17">
        <f t="shared" si="1"/>
        <v>36000</v>
      </c>
      <c r="C37" s="18">
        <f t="shared" si="2"/>
        <v>218124.5259</v>
      </c>
      <c r="D37" s="19">
        <f t="shared" si="3"/>
        <v>3378502.978</v>
      </c>
    </row>
    <row r="38">
      <c r="A38" s="16">
        <v>30.0</v>
      </c>
      <c r="B38" s="17">
        <f t="shared" si="1"/>
        <v>36000</v>
      </c>
      <c r="C38" s="18">
        <f t="shared" si="2"/>
        <v>236495.2085</v>
      </c>
      <c r="D38" s="19">
        <f t="shared" si="3"/>
        <v>3659912.987</v>
      </c>
    </row>
    <row r="39">
      <c r="A39" s="16">
        <v>31.0</v>
      </c>
      <c r="B39" s="17">
        <f t="shared" si="1"/>
        <v>36000</v>
      </c>
      <c r="C39" s="18">
        <f t="shared" si="2"/>
        <v>256193.9091</v>
      </c>
      <c r="D39" s="19">
        <f t="shared" si="3"/>
        <v>3961666.149</v>
      </c>
    </row>
    <row r="40">
      <c r="A40" s="16">
        <v>32.0</v>
      </c>
      <c r="B40" s="17">
        <f t="shared" si="1"/>
        <v>36000</v>
      </c>
      <c r="C40" s="18">
        <f t="shared" si="2"/>
        <v>277316.6304</v>
      </c>
      <c r="D40" s="19">
        <f t="shared" si="3"/>
        <v>4285233.071</v>
      </c>
    </row>
    <row r="41">
      <c r="A41" s="16">
        <v>33.0</v>
      </c>
      <c r="B41" s="17">
        <f t="shared" si="1"/>
        <v>36000</v>
      </c>
      <c r="C41" s="18">
        <f t="shared" si="2"/>
        <v>299966.315</v>
      </c>
      <c r="D41" s="19">
        <f t="shared" si="3"/>
        <v>4632190.672</v>
      </c>
    </row>
    <row r="42">
      <c r="A42" s="16">
        <v>34.0</v>
      </c>
      <c r="B42" s="17">
        <f t="shared" si="1"/>
        <v>36000</v>
      </c>
      <c r="C42" s="18">
        <f t="shared" si="2"/>
        <v>324253.3471</v>
      </c>
      <c r="D42" s="19">
        <f t="shared" si="3"/>
        <v>5004229.866</v>
      </c>
    </row>
    <row r="43">
      <c r="A43" s="16">
        <v>35.0</v>
      </c>
      <c r="B43" s="17">
        <f t="shared" si="1"/>
        <v>36000</v>
      </c>
      <c r="C43" s="18">
        <f t="shared" si="2"/>
        <v>350296.0906</v>
      </c>
      <c r="D43" s="19">
        <f t="shared" si="3"/>
        <v>5403163.804</v>
      </c>
    </row>
    <row r="44">
      <c r="A44" s="16">
        <v>36.0</v>
      </c>
      <c r="B44" s="17">
        <f t="shared" si="1"/>
        <v>36000</v>
      </c>
      <c r="C44" s="18">
        <f t="shared" si="2"/>
        <v>378221.4663</v>
      </c>
      <c r="D44" s="19">
        <f t="shared" si="3"/>
        <v>5830936.708</v>
      </c>
    </row>
    <row r="45">
      <c r="A45" s="16">
        <v>37.0</v>
      </c>
      <c r="B45" s="17">
        <f t="shared" si="1"/>
        <v>36000</v>
      </c>
      <c r="C45" s="18">
        <f t="shared" si="2"/>
        <v>408165.5696</v>
      </c>
      <c r="D45" s="19">
        <f t="shared" si="3"/>
        <v>6289633.35</v>
      </c>
    </row>
    <row r="46">
      <c r="A46" s="16">
        <v>38.0</v>
      </c>
      <c r="B46" s="17">
        <f t="shared" si="1"/>
        <v>36000</v>
      </c>
      <c r="C46" s="18">
        <f t="shared" si="2"/>
        <v>440274.3345</v>
      </c>
      <c r="D46" s="19">
        <f t="shared" si="3"/>
        <v>6781489.209</v>
      </c>
    </row>
    <row r="47">
      <c r="A47" s="16">
        <v>39.0</v>
      </c>
      <c r="B47" s="17">
        <f t="shared" si="1"/>
        <v>36000</v>
      </c>
      <c r="C47" s="18">
        <f t="shared" si="2"/>
        <v>474704.2446</v>
      </c>
      <c r="D47" s="19">
        <f t="shared" si="3"/>
        <v>7308901.368</v>
      </c>
    </row>
    <row r="48">
      <c r="A48" s="16">
        <v>40.0</v>
      </c>
      <c r="B48" s="17">
        <f t="shared" si="1"/>
        <v>36000</v>
      </c>
      <c r="C48" s="18">
        <f t="shared" si="2"/>
        <v>511623.0958</v>
      </c>
      <c r="D48" s="19">
        <f t="shared" si="3"/>
        <v>7874440.195</v>
      </c>
    </row>
    <row r="49">
      <c r="A49" s="16">
        <v>41.0</v>
      </c>
      <c r="B49" s="17">
        <f t="shared" si="1"/>
        <v>36000</v>
      </c>
      <c r="C49" s="18">
        <f t="shared" si="2"/>
        <v>551210.8137</v>
      </c>
      <c r="D49" s="19">
        <f t="shared" si="3"/>
        <v>8480861.869</v>
      </c>
    </row>
    <row r="50">
      <c r="A50" s="16">
        <v>42.0</v>
      </c>
      <c r="B50" s="17">
        <f t="shared" si="1"/>
        <v>36000</v>
      </c>
      <c r="C50" s="18">
        <f t="shared" si="2"/>
        <v>593660.3308</v>
      </c>
      <c r="D50" s="19">
        <f t="shared" si="3"/>
        <v>9131121.815</v>
      </c>
    </row>
    <row r="51">
      <c r="A51" s="16">
        <v>43.0</v>
      </c>
      <c r="B51" s="17">
        <f t="shared" si="1"/>
        <v>36000</v>
      </c>
      <c r="C51" s="18">
        <f t="shared" si="2"/>
        <v>639178.5271</v>
      </c>
      <c r="D51" s="19">
        <f t="shared" si="3"/>
        <v>9828389.106</v>
      </c>
    </row>
    <row r="52">
      <c r="A52" s="16">
        <v>44.0</v>
      </c>
      <c r="B52" s="17">
        <f t="shared" si="1"/>
        <v>36000</v>
      </c>
      <c r="C52" s="18">
        <f t="shared" si="2"/>
        <v>687987.2374</v>
      </c>
      <c r="D52" s="19">
        <f t="shared" si="3"/>
        <v>10576061.9</v>
      </c>
    </row>
    <row r="53">
      <c r="A53" s="16">
        <v>45.0</v>
      </c>
      <c r="B53" s="17">
        <f t="shared" si="1"/>
        <v>36000</v>
      </c>
      <c r="C53" s="18">
        <f t="shared" si="2"/>
        <v>740324.3333</v>
      </c>
      <c r="D53" s="19">
        <f t="shared" si="3"/>
        <v>11377784.03</v>
      </c>
    </row>
    <row r="54">
      <c r="A54" s="16">
        <v>46.0</v>
      </c>
      <c r="B54" s="17">
        <f t="shared" si="1"/>
        <v>36000</v>
      </c>
      <c r="C54" s="18">
        <f t="shared" si="2"/>
        <v>796444.8821</v>
      </c>
      <c r="D54" s="19">
        <f t="shared" si="3"/>
        <v>12237462.71</v>
      </c>
    </row>
    <row r="55">
      <c r="A55" s="16">
        <v>47.0</v>
      </c>
      <c r="B55" s="17">
        <f t="shared" si="1"/>
        <v>36000</v>
      </c>
      <c r="C55" s="18">
        <f t="shared" si="2"/>
        <v>856622.39</v>
      </c>
      <c r="D55" s="19">
        <f t="shared" si="3"/>
        <v>13159287.64</v>
      </c>
    </row>
    <row r="56">
      <c r="A56" s="16">
        <v>48.0</v>
      </c>
      <c r="B56" s="17">
        <f t="shared" si="1"/>
        <v>36000</v>
      </c>
      <c r="C56" s="18">
        <f t="shared" si="2"/>
        <v>921150.1347</v>
      </c>
      <c r="D56" s="19">
        <f t="shared" si="3"/>
        <v>14147751.36</v>
      </c>
    </row>
    <row r="57">
      <c r="A57" s="16">
        <v>49.0</v>
      </c>
      <c r="B57" s="17">
        <f t="shared" si="1"/>
        <v>36000</v>
      </c>
      <c r="C57" s="18">
        <f t="shared" si="2"/>
        <v>990342.5954</v>
      </c>
      <c r="D57" s="19">
        <f t="shared" si="3"/>
        <v>15207671.21</v>
      </c>
    </row>
    <row r="58">
      <c r="A58" s="16">
        <v>50.0</v>
      </c>
      <c r="B58" s="17">
        <f t="shared" si="1"/>
        <v>36000</v>
      </c>
      <c r="C58" s="18">
        <f t="shared" si="2"/>
        <v>1064536.985</v>
      </c>
      <c r="D58" s="19">
        <f t="shared" si="3"/>
        <v>16344212.75</v>
      </c>
    </row>
    <row r="59">
      <c r="A59" s="16">
        <v>51.0</v>
      </c>
      <c r="B59" s="17">
        <f t="shared" si="1"/>
        <v>36000</v>
      </c>
      <c r="C59" s="18">
        <f t="shared" si="2"/>
        <v>1144094.892</v>
      </c>
      <c r="D59" s="19">
        <f t="shared" si="3"/>
        <v>17562914.96</v>
      </c>
    </row>
    <row r="60">
      <c r="A60" s="16">
        <v>52.0</v>
      </c>
      <c r="B60" s="17">
        <f t="shared" si="1"/>
        <v>36000</v>
      </c>
      <c r="C60" s="18">
        <f t="shared" si="2"/>
        <v>1229404.047</v>
      </c>
      <c r="D60" s="19">
        <f t="shared" si="3"/>
        <v>18869717.26</v>
      </c>
    </row>
    <row r="61">
      <c r="A61" s="16">
        <v>53.0</v>
      </c>
      <c r="B61" s="17">
        <f t="shared" si="1"/>
        <v>36000</v>
      </c>
      <c r="C61" s="18">
        <f t="shared" si="2"/>
        <v>1320880.208</v>
      </c>
      <c r="D61" s="19">
        <f t="shared" si="3"/>
        <v>20270988.4</v>
      </c>
    </row>
    <row r="62">
      <c r="A62" s="16">
        <v>54.0</v>
      </c>
      <c r="B62" s="17">
        <f t="shared" si="1"/>
        <v>36000</v>
      </c>
      <c r="C62" s="18">
        <f t="shared" si="2"/>
        <v>1418969.188</v>
      </c>
      <c r="D62" s="19">
        <f t="shared" si="3"/>
        <v>21773557.55</v>
      </c>
    </row>
    <row r="63">
      <c r="A63" s="16">
        <v>55.0</v>
      </c>
      <c r="B63" s="17">
        <f t="shared" si="1"/>
        <v>36000</v>
      </c>
      <c r="C63" s="18">
        <f t="shared" si="2"/>
        <v>1524149.028</v>
      </c>
      <c r="D63" s="19">
        <f t="shared" si="3"/>
        <v>23384747.54</v>
      </c>
    </row>
    <row r="64">
      <c r="A64" s="16">
        <v>56.0</v>
      </c>
      <c r="B64" s="17">
        <f t="shared" si="1"/>
        <v>36000</v>
      </c>
      <c r="C64" s="18">
        <f t="shared" si="2"/>
        <v>1636932.328</v>
      </c>
      <c r="D64" s="19">
        <f t="shared" si="3"/>
        <v>25112410.59</v>
      </c>
    </row>
    <row r="65">
      <c r="A65" s="16">
        <v>57.0</v>
      </c>
      <c r="B65" s="17">
        <f t="shared" si="1"/>
        <v>36000</v>
      </c>
      <c r="C65" s="18">
        <f t="shared" si="2"/>
        <v>1757868.741</v>
      </c>
      <c r="D65" s="19">
        <f t="shared" si="3"/>
        <v>26964966.54</v>
      </c>
    </row>
    <row r="66">
      <c r="A66" s="16">
        <v>58.0</v>
      </c>
      <c r="B66" s="17">
        <f t="shared" si="1"/>
        <v>36000</v>
      </c>
      <c r="C66" s="18">
        <f t="shared" si="2"/>
        <v>1887547.657</v>
      </c>
      <c r="D66" s="19">
        <f t="shared" si="3"/>
        <v>28951443.9</v>
      </c>
    </row>
    <row r="67">
      <c r="A67" s="16">
        <v>59.0</v>
      </c>
      <c r="B67" s="17">
        <f t="shared" si="1"/>
        <v>36000</v>
      </c>
      <c r="C67" s="18">
        <f t="shared" si="2"/>
        <v>2026601.073</v>
      </c>
      <c r="D67" s="19">
        <f t="shared" si="3"/>
        <v>31081523.88</v>
      </c>
    </row>
    <row r="68">
      <c r="A68" s="16">
        <v>60.0</v>
      </c>
      <c r="B68" s="17">
        <f t="shared" si="1"/>
        <v>36000</v>
      </c>
      <c r="C68" s="18">
        <f t="shared" si="2"/>
        <v>2175706.672</v>
      </c>
      <c r="D68" s="19">
        <f t="shared" si="3"/>
        <v>33365587.51</v>
      </c>
    </row>
    <row r="69">
      <c r="A69" s="16">
        <v>61.0</v>
      </c>
      <c r="B69" s="17">
        <f t="shared" si="1"/>
        <v>36000</v>
      </c>
      <c r="C69" s="18">
        <f t="shared" si="2"/>
        <v>2335591.126</v>
      </c>
      <c r="D69" s="19">
        <f t="shared" si="3"/>
        <v>35814766.28</v>
      </c>
    </row>
    <row r="70">
      <c r="A70" s="16">
        <v>62.0</v>
      </c>
      <c r="B70" s="17">
        <f t="shared" si="1"/>
        <v>36000</v>
      </c>
      <c r="C70" s="18">
        <f t="shared" si="2"/>
        <v>2507033.64</v>
      </c>
      <c r="D70" s="19">
        <f t="shared" si="3"/>
        <v>38440996.39</v>
      </c>
    </row>
    <row r="71">
      <c r="A71" s="16">
        <v>63.0</v>
      </c>
      <c r="B71" s="17">
        <f t="shared" si="1"/>
        <v>36000</v>
      </c>
      <c r="C71" s="18">
        <f t="shared" si="2"/>
        <v>2690869.747</v>
      </c>
      <c r="D71" s="19">
        <f t="shared" si="3"/>
        <v>41257076.88</v>
      </c>
    </row>
    <row r="72">
      <c r="A72" s="16">
        <v>64.0</v>
      </c>
      <c r="B72" s="17">
        <f t="shared" si="1"/>
        <v>36000</v>
      </c>
      <c r="C72" s="18">
        <f t="shared" si="2"/>
        <v>2887995.382</v>
      </c>
      <c r="D72" s="19">
        <f t="shared" si="3"/>
        <v>44276732.06</v>
      </c>
    </row>
    <row r="73">
      <c r="A73" s="16">
        <v>65.0</v>
      </c>
      <c r="B73" s="17">
        <f t="shared" si="1"/>
        <v>36000</v>
      </c>
      <c r="C73" s="18">
        <f t="shared" si="2"/>
        <v>3099371.244</v>
      </c>
      <c r="D73" s="19">
        <f t="shared" si="3"/>
        <v>47514678.36</v>
      </c>
    </row>
    <row r="74">
      <c r="A74" s="16">
        <v>66.0</v>
      </c>
      <c r="B74" s="17">
        <f t="shared" si="1"/>
        <v>36000</v>
      </c>
      <c r="C74" s="18">
        <f t="shared" si="2"/>
        <v>3326027.485</v>
      </c>
      <c r="D74" s="19">
        <f t="shared" si="3"/>
        <v>50986696.06</v>
      </c>
    </row>
    <row r="75">
      <c r="A75" s="16">
        <v>67.0</v>
      </c>
      <c r="B75" s="17">
        <f t="shared" si="1"/>
        <v>36000</v>
      </c>
      <c r="C75" s="18">
        <f t="shared" si="2"/>
        <v>3569068.724</v>
      </c>
      <c r="D75" s="19">
        <f t="shared" si="3"/>
        <v>54709706.19</v>
      </c>
    </row>
    <row r="76">
      <c r="A76" s="16">
        <v>68.0</v>
      </c>
      <c r="B76" s="17">
        <f t="shared" si="1"/>
        <v>36000</v>
      </c>
      <c r="C76" s="18">
        <f t="shared" si="2"/>
        <v>3829679.433</v>
      </c>
      <c r="D76" s="19">
        <f t="shared" si="3"/>
        <v>58701853.03</v>
      </c>
    </row>
    <row r="77">
      <c r="A77" s="16">
        <v>69.0</v>
      </c>
      <c r="B77" s="17">
        <f t="shared" si="1"/>
        <v>36000</v>
      </c>
      <c r="C77" s="18">
        <f t="shared" si="2"/>
        <v>4109129.712</v>
      </c>
      <c r="D77" s="19">
        <f t="shared" si="3"/>
        <v>62982592.49</v>
      </c>
    </row>
    <row r="78">
      <c r="A78" s="16">
        <v>70.0</v>
      </c>
      <c r="B78" s="17">
        <f t="shared" si="1"/>
        <v>36000</v>
      </c>
      <c r="C78" s="18">
        <f t="shared" si="2"/>
        <v>4408781.474</v>
      </c>
      <c r="D78" s="19">
        <f t="shared" si="3"/>
        <v>67572786.95</v>
      </c>
    </row>
    <row r="79">
      <c r="A79" s="16">
        <v>71.0</v>
      </c>
      <c r="B79" s="17">
        <f t="shared" si="1"/>
        <v>36000</v>
      </c>
      <c r="C79" s="18">
        <f t="shared" si="2"/>
        <v>4730095.086</v>
      </c>
      <c r="D79" s="19">
        <f t="shared" si="3"/>
        <v>72494806.94</v>
      </c>
    </row>
    <row r="80">
      <c r="A80" s="16">
        <v>72.0</v>
      </c>
      <c r="B80" s="17">
        <f t="shared" si="1"/>
        <v>36000</v>
      </c>
      <c r="C80" s="18">
        <f t="shared" si="2"/>
        <v>5074636.486</v>
      </c>
      <c r="D80" s="19">
        <f t="shared" si="3"/>
        <v>77772640.15</v>
      </c>
    </row>
    <row r="81">
      <c r="A81" s="16">
        <v>73.0</v>
      </c>
      <c r="B81" s="17">
        <f t="shared" si="1"/>
        <v>36000</v>
      </c>
      <c r="C81" s="18">
        <f t="shared" si="2"/>
        <v>5444084.81</v>
      </c>
      <c r="D81" s="19">
        <f t="shared" si="3"/>
        <v>83432008.35</v>
      </c>
    </row>
    <row r="82">
      <c r="A82" s="16">
        <v>74.0</v>
      </c>
      <c r="B82" s="17">
        <f t="shared" si="1"/>
        <v>36000</v>
      </c>
      <c r="C82" s="18">
        <f t="shared" si="2"/>
        <v>5840240.584</v>
      </c>
      <c r="D82" s="19">
        <f t="shared" si="3"/>
        <v>89500492.74</v>
      </c>
    </row>
    <row r="83">
      <c r="A83" s="16">
        <v>75.0</v>
      </c>
      <c r="B83" s="17">
        <f t="shared" si="1"/>
        <v>36000</v>
      </c>
      <c r="C83" s="18">
        <f t="shared" si="2"/>
        <v>6265034.491</v>
      </c>
      <c r="D83" s="19">
        <f t="shared" si="3"/>
        <v>96007668.35</v>
      </c>
    </row>
    <row r="84">
      <c r="A84" s="16">
        <v>76.0</v>
      </c>
      <c r="B84" s="17">
        <f t="shared" si="1"/>
        <v>36000</v>
      </c>
      <c r="C84" s="18">
        <f t="shared" si="2"/>
        <v>6720536.784</v>
      </c>
      <c r="D84" s="19">
        <f t="shared" si="3"/>
        <v>102985248.2</v>
      </c>
    </row>
    <row r="85">
      <c r="A85" s="16">
        <v>77.0</v>
      </c>
      <c r="B85" s="17">
        <f t="shared" si="1"/>
        <v>36000</v>
      </c>
      <c r="C85" s="18">
        <f t="shared" si="2"/>
        <v>7208967.375</v>
      </c>
      <c r="D85" s="19">
        <f t="shared" si="3"/>
        <v>110467237.9</v>
      </c>
    </row>
    <row r="86">
      <c r="A86" s="16">
        <v>78.0</v>
      </c>
      <c r="B86" s="17">
        <f t="shared" si="1"/>
        <v>36000</v>
      </c>
      <c r="C86" s="18">
        <f t="shared" si="2"/>
        <v>7732706.652</v>
      </c>
      <c r="D86" s="19">
        <f t="shared" si="3"/>
        <v>118490101.2</v>
      </c>
    </row>
    <row r="87">
      <c r="A87" s="16">
        <v>79.0</v>
      </c>
      <c r="B87" s="17">
        <f t="shared" si="1"/>
        <v>36000</v>
      </c>
      <c r="C87" s="18">
        <f t="shared" si="2"/>
        <v>8294307.084</v>
      </c>
      <c r="D87" s="19">
        <f t="shared" si="3"/>
        <v>127092938</v>
      </c>
    </row>
    <row r="88">
      <c r="A88" s="16">
        <v>80.0</v>
      </c>
      <c r="B88" s="17">
        <f t="shared" si="1"/>
        <v>36000</v>
      </c>
      <c r="C88" s="18">
        <f t="shared" si="2"/>
        <v>8896505.657</v>
      </c>
      <c r="D88" s="19">
        <f t="shared" si="3"/>
        <v>136317674.5</v>
      </c>
    </row>
    <row r="89">
      <c r="A89" s="16">
        <v>81.0</v>
      </c>
      <c r="B89" s="17">
        <f t="shared" si="1"/>
        <v>36000</v>
      </c>
      <c r="C89" s="18">
        <f t="shared" si="2"/>
        <v>9542237.213</v>
      </c>
      <c r="D89" s="19">
        <f t="shared" si="3"/>
        <v>146209267.9</v>
      </c>
    </row>
    <row r="90">
      <c r="A90" s="16">
        <v>82.0</v>
      </c>
      <c r="B90" s="17">
        <f t="shared" si="1"/>
        <v>36000</v>
      </c>
      <c r="C90" s="18">
        <f t="shared" si="2"/>
        <v>10234648.76</v>
      </c>
      <c r="D90" s="19">
        <f t="shared" si="3"/>
        <v>156815925.5</v>
      </c>
    </row>
    <row r="91">
      <c r="A91" s="16">
        <v>83.0</v>
      </c>
      <c r="B91" s="17">
        <f t="shared" si="1"/>
        <v>36000</v>
      </c>
      <c r="C91" s="18">
        <f t="shared" si="2"/>
        <v>10977114.78</v>
      </c>
      <c r="D91" s="19">
        <f t="shared" si="3"/>
        <v>168189339.2</v>
      </c>
    </row>
    <row r="92">
      <c r="A92" s="16">
        <v>84.0</v>
      </c>
      <c r="B92" s="17">
        <f t="shared" si="1"/>
        <v>36000</v>
      </c>
      <c r="C92" s="18">
        <f t="shared" si="2"/>
        <v>11773253.74</v>
      </c>
      <c r="D92" s="19">
        <f t="shared" si="3"/>
        <v>180384937.9</v>
      </c>
    </row>
    <row r="93">
      <c r="A93" s="16">
        <v>85.0</v>
      </c>
      <c r="B93" s="17">
        <f t="shared" si="1"/>
        <v>36000</v>
      </c>
      <c r="C93" s="18">
        <f t="shared" si="2"/>
        <v>12626945.65</v>
      </c>
      <c r="D93" s="19">
        <f t="shared" si="3"/>
        <v>193462157.4</v>
      </c>
    </row>
    <row r="94">
      <c r="A94" s="16">
        <v>86.0</v>
      </c>
      <c r="B94" s="17">
        <f t="shared" si="1"/>
        <v>36000</v>
      </c>
      <c r="C94" s="18">
        <f t="shared" si="2"/>
        <v>13542351.02</v>
      </c>
      <c r="D94" s="19">
        <f t="shared" si="3"/>
        <v>207484730.1</v>
      </c>
    </row>
    <row r="95">
      <c r="A95" s="16">
        <v>87.0</v>
      </c>
      <c r="B95" s="17">
        <f t="shared" si="1"/>
        <v>36000</v>
      </c>
      <c r="C95" s="18">
        <f t="shared" si="2"/>
        <v>14523931.11</v>
      </c>
      <c r="D95" s="19">
        <f t="shared" si="3"/>
        <v>222520995.8</v>
      </c>
    </row>
    <row r="96">
      <c r="A96" s="16">
        <v>88.0</v>
      </c>
      <c r="B96" s="17">
        <f t="shared" si="1"/>
        <v>36000</v>
      </c>
      <c r="C96" s="18">
        <f t="shared" si="2"/>
        <v>15576469.71</v>
      </c>
      <c r="D96" s="19">
        <f t="shared" si="3"/>
        <v>238644234.3</v>
      </c>
    </row>
    <row r="97">
      <c r="A97" s="16">
        <v>89.0</v>
      </c>
      <c r="B97" s="17">
        <f t="shared" si="1"/>
        <v>36000</v>
      </c>
      <c r="C97" s="18">
        <f t="shared" si="2"/>
        <v>16705096.4</v>
      </c>
      <c r="D97" s="19">
        <f t="shared" si="3"/>
        <v>255933023.1</v>
      </c>
    </row>
    <row r="98">
      <c r="A98" s="16">
        <v>90.0</v>
      </c>
      <c r="B98" s="17">
        <f t="shared" si="1"/>
        <v>36000</v>
      </c>
      <c r="C98" s="18">
        <f t="shared" si="2"/>
        <v>17915311.62</v>
      </c>
      <c r="D98" s="19">
        <f t="shared" si="3"/>
        <v>274471619.8</v>
      </c>
    </row>
    <row r="99">
      <c r="A99" s="16">
        <v>91.0</v>
      </c>
      <c r="B99" s="17">
        <f t="shared" si="1"/>
        <v>36000</v>
      </c>
      <c r="C99" s="18">
        <f t="shared" si="2"/>
        <v>19213013.38</v>
      </c>
      <c r="D99" s="19">
        <f t="shared" si="3"/>
        <v>294350373.1</v>
      </c>
    </row>
    <row r="100">
      <c r="A100" s="16">
        <v>92.0</v>
      </c>
      <c r="B100" s="17">
        <f t="shared" si="1"/>
        <v>36000</v>
      </c>
      <c r="C100" s="18">
        <f t="shared" si="2"/>
        <v>20604526.12</v>
      </c>
      <c r="D100" s="19">
        <f t="shared" si="3"/>
        <v>315666163.1</v>
      </c>
    </row>
    <row r="101">
      <c r="A101" s="16">
        <v>93.0</v>
      </c>
      <c r="B101" s="17">
        <f t="shared" si="1"/>
        <v>36000</v>
      </c>
      <c r="C101" s="18">
        <f t="shared" si="2"/>
        <v>22096631.42</v>
      </c>
      <c r="D101" s="19">
        <f t="shared" si="3"/>
        <v>338522873.4</v>
      </c>
    </row>
    <row r="102">
      <c r="A102" s="16">
        <v>94.0</v>
      </c>
      <c r="B102" s="17">
        <f t="shared" si="1"/>
        <v>36000</v>
      </c>
      <c r="C102" s="18">
        <f t="shared" si="2"/>
        <v>23696601.13</v>
      </c>
      <c r="D102" s="19">
        <f t="shared" si="3"/>
        <v>363031897</v>
      </c>
    </row>
    <row r="103">
      <c r="A103" s="16">
        <v>95.0</v>
      </c>
      <c r="B103" s="17">
        <f t="shared" si="1"/>
        <v>36000</v>
      </c>
      <c r="C103" s="18">
        <f t="shared" si="2"/>
        <v>25412232.79</v>
      </c>
      <c r="D103" s="19">
        <f t="shared" si="3"/>
        <v>389312679.9</v>
      </c>
    </row>
    <row r="104">
      <c r="A104" s="16">
        <v>96.0</v>
      </c>
      <c r="B104" s="17">
        <f t="shared" si="1"/>
        <v>36000</v>
      </c>
      <c r="C104" s="18">
        <f t="shared" si="2"/>
        <v>27251887.6</v>
      </c>
      <c r="D104" s="19">
        <f t="shared" si="3"/>
        <v>417493302.8</v>
      </c>
    </row>
    <row r="105">
      <c r="A105" s="16">
        <v>97.0</v>
      </c>
      <c r="B105" s="17">
        <f t="shared" si="1"/>
        <v>36000</v>
      </c>
      <c r="C105" s="18">
        <f t="shared" si="2"/>
        <v>29224531.2</v>
      </c>
      <c r="D105" s="19">
        <f t="shared" si="3"/>
        <v>447711105.2</v>
      </c>
    </row>
    <row r="106">
      <c r="A106" s="16">
        <v>98.0</v>
      </c>
      <c r="B106" s="17">
        <f t="shared" si="1"/>
        <v>36000</v>
      </c>
      <c r="C106" s="18">
        <f t="shared" si="2"/>
        <v>31339777.36</v>
      </c>
      <c r="D106" s="19">
        <f t="shared" si="3"/>
        <v>480113354.9</v>
      </c>
    </row>
    <row r="107">
      <c r="A107" s="16">
        <v>99.0</v>
      </c>
      <c r="B107" s="17">
        <f t="shared" si="1"/>
        <v>36000</v>
      </c>
      <c r="C107" s="18">
        <f t="shared" si="2"/>
        <v>33607934.84</v>
      </c>
      <c r="D107" s="19">
        <f t="shared" si="3"/>
        <v>514857965.9</v>
      </c>
    </row>
  </sheetData>
  <drawing r:id="rId1"/>
  <tableParts count="2">
    <tablePart r:id="rId4"/>
    <tablePart r:id="rId5"/>
  </tableParts>
</worksheet>
</file>